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1" autoFilterDateGrouping="1"/>
  </bookViews>
  <sheets>
    <sheet xmlns:r="http://schemas.openxmlformats.org/officeDocument/2006/relationships" name="🔍 Competitive Analysis" sheetId="1" state="visible" r:id="rId1"/>
    <sheet xmlns:r="http://schemas.openxmlformats.org/officeDocument/2006/relationships" name="📊 KPI Dashboard" sheetId="2" state="visible" r:id="rId2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#,##0;\(#,##0\);\-"/>
    <numFmt numFmtId="165" formatCode="0.0"/>
  </numFmts>
  <fonts count="17">
    <font>
      <name val="Calibri"/>
      <charset val="1"/>
      <family val="2"/>
      <color theme="1"/>
      <sz val="11"/>
    </font>
    <font>
      <name val="Arial"/>
      <charset val="1"/>
      <b val="1"/>
      <color rgb="FFFFFFFF"/>
      <sz val="14"/>
    </font>
    <font>
      <name val="Arial"/>
      <charset val="1"/>
      <b val="1"/>
      <color rgb="FFD9E1F2"/>
      <sz val="11"/>
    </font>
    <font>
      <name val="Arial"/>
      <charset val="1"/>
      <b val="1"/>
      <color rgb="FFFFFFFF"/>
      <sz val="11"/>
    </font>
    <font>
      <name val="Arial"/>
      <charset val="1"/>
      <b val="1"/>
      <color rgb="FFFFFFFF"/>
      <sz val="10"/>
    </font>
    <font>
      <name val="Arial"/>
      <charset val="1"/>
      <b val="1"/>
      <color rgb="FF1F4E79"/>
      <sz val="10"/>
    </font>
    <font>
      <name val="Arial"/>
      <charset val="1"/>
      <b val="1"/>
      <color rgb="FF375623"/>
      <sz val="10"/>
    </font>
    <font>
      <name val="Arial"/>
      <charset val="1"/>
      <color rgb="FF000000"/>
      <sz val="10"/>
    </font>
    <font>
      <name val="Arial"/>
      <charset val="1"/>
      <color rgb="FF595959"/>
      <sz val="10"/>
    </font>
    <font>
      <name val="Arial"/>
      <charset val="1"/>
      <b val="1"/>
      <color rgb="FFC00000"/>
      <sz val="10"/>
    </font>
    <font>
      <name val="Arial"/>
      <charset val="1"/>
      <b val="1"/>
      <color rgb="FFC2185B"/>
      <sz val="10"/>
    </font>
    <font>
      <name val="Arial"/>
      <charset val="1"/>
      <b val="1"/>
      <color rgb="FF7030A0"/>
      <sz val="10"/>
    </font>
    <font>
      <name val="Arial"/>
      <charset val="1"/>
      <b val="1"/>
      <color rgb="FF7F6000"/>
      <sz val="10"/>
    </font>
    <font>
      <name val="Arial"/>
      <charset val="1"/>
      <color rgb="FF0000FF"/>
      <sz val="10"/>
    </font>
    <font>
      <name val="Arial"/>
      <charset val="1"/>
      <sz val="10"/>
    </font>
    <font>
      <name val="Arial"/>
      <charset val="1"/>
      <b val="1"/>
      <sz val="10"/>
    </font>
    <font>
      <name val="Arial"/>
      <charset val="1"/>
      <color rgb="FF404040"/>
      <sz val="9"/>
    </font>
  </fonts>
  <fills count="25">
    <fill>
      <patternFill/>
    </fill>
    <fill>
      <patternFill patternType="gray125"/>
    </fill>
    <fill>
      <patternFill patternType="solid">
        <fgColor rgb="FF1F4E79"/>
        <bgColor rgb="FF2F5496"/>
      </patternFill>
    </fill>
    <fill>
      <patternFill patternType="solid">
        <fgColor rgb="FF2F5496"/>
        <bgColor rgb="FF1F4E79"/>
      </patternFill>
    </fill>
    <fill>
      <patternFill patternType="solid">
        <fgColor rgb="FF375623"/>
        <bgColor rgb="FF404040"/>
      </patternFill>
    </fill>
    <fill>
      <patternFill patternType="solid">
        <fgColor rgb="FFF4B942"/>
        <bgColor rgb="FFFF9900"/>
      </patternFill>
    </fill>
    <fill>
      <patternFill patternType="solid">
        <fgColor rgb="FFE2EFDA"/>
        <bgColor rgb="FFDAEEF3"/>
      </patternFill>
    </fill>
    <fill>
      <patternFill patternType="solid">
        <fgColor rgb="FFF2F9F2"/>
        <bgColor rgb="FFF7F7F7"/>
      </patternFill>
    </fill>
    <fill>
      <patternFill patternType="solid">
        <fgColor rgb="FFF7F7F7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C00000"/>
        <bgColor rgb="FF800000"/>
      </patternFill>
    </fill>
    <fill>
      <patternFill patternType="solid">
        <fgColor rgb="FFFCE4D6"/>
        <bgColor rgb="FFF9D7E5"/>
      </patternFill>
    </fill>
    <fill>
      <patternFill patternType="solid">
        <fgColor rgb="FFFFF0F0"/>
        <bgColor rgb="FFF7F7F7"/>
      </patternFill>
    </fill>
    <fill>
      <patternFill patternType="solid">
        <fgColor rgb="FFE1306C"/>
        <bgColor rgb="FFC2185B"/>
      </patternFill>
    </fill>
    <fill>
      <patternFill patternType="solid">
        <fgColor rgb="FFF9D7E5"/>
        <bgColor rgb="FFF2CEEF"/>
      </patternFill>
    </fill>
    <fill>
      <patternFill patternType="solid">
        <fgColor rgb="FF7030A0"/>
        <bgColor rgb="FF800080"/>
      </patternFill>
    </fill>
    <fill>
      <patternFill patternType="solid">
        <fgColor rgb="FFF2CEEF"/>
        <bgColor rgb="FFF9D7E5"/>
      </patternFill>
    </fill>
    <fill>
      <patternFill patternType="solid">
        <fgColor rgb="FFF5F0FF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DAEEF3"/>
        <bgColor rgb="FFD6E4F0"/>
      </patternFill>
    </fill>
    <fill>
      <patternFill patternType="solid">
        <fgColor rgb="FFFFFDE7"/>
        <bgColor rgb="FFF9F9F9"/>
      </patternFill>
    </fill>
    <fill>
      <patternFill patternType="solid">
        <fgColor rgb="FFD6E4F0"/>
        <bgColor rgb="FFD9E1F2"/>
      </patternFill>
    </fill>
    <fill>
      <patternFill patternType="solid">
        <fgColor rgb="FFF2F2F2"/>
        <bgColor rgb="FFF5F0FF"/>
      </patternFill>
    </fill>
    <fill>
      <patternFill patternType="solid">
        <fgColor rgb="FFD9E1F2"/>
        <bgColor rgb="FFD6E4F0"/>
      </patternFill>
    </fill>
    <fill>
      <patternFill patternType="solid">
        <fgColor rgb="FFF9F9F9"/>
        <bgColor rgb="FFF7F7F7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6" fillId="24" borderId="2" applyAlignment="1" pivotButton="0" quotePrefix="0" xfId="0">
      <alignment horizontal="left" vertical="center" wrapText="1"/>
    </xf>
    <xf numFmtId="0" fontId="16" fillId="9" borderId="2" applyAlignment="1" pivotButton="0" quotePrefix="0" xfId="0">
      <alignment horizontal="left" vertical="center" wrapText="1"/>
    </xf>
    <xf numFmtId="0" fontId="5" fillId="2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15" borderId="0" applyAlignment="1" pivotButton="0" quotePrefix="0" xfId="0">
      <alignment horizontal="center" vertical="center"/>
    </xf>
    <xf numFmtId="0" fontId="4" fillId="1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left" vertical="center" wrapText="1"/>
    </xf>
    <xf numFmtId="0" fontId="11" fillId="16" borderId="1" applyAlignment="1" pivotButton="0" quotePrefix="0" xfId="0">
      <alignment horizontal="left" vertical="center" wrapText="1"/>
    </xf>
    <xf numFmtId="0" fontId="7" fillId="17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7" fillId="8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vertical="top" wrapText="1"/>
    </xf>
    <xf numFmtId="0" fontId="12" fillId="18" borderId="1" applyAlignment="1" pivotButton="0" quotePrefix="0" xfId="0">
      <alignment horizontal="left" vertical="center" wrapText="1"/>
    </xf>
    <xf numFmtId="0" fontId="0" fillId="18" borderId="1" applyAlignment="1" pivotButton="0" quotePrefix="0" xfId="0">
      <alignment vertical="top" wrapText="1"/>
    </xf>
    <xf numFmtId="0" fontId="5" fillId="19" borderId="1" applyAlignment="1" pivotButton="0" quotePrefix="0" xfId="0">
      <alignment horizontal="left" vertical="center" wrapText="1"/>
    </xf>
    <xf numFmtId="0" fontId="0" fillId="19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13" fillId="20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left" vertical="center" wrapText="1"/>
    </xf>
    <xf numFmtId="0" fontId="7" fillId="18" borderId="1" applyAlignment="1" pivotButton="0" quotePrefix="0" xfId="0">
      <alignment horizontal="center" vertical="center" wrapText="1"/>
    </xf>
    <xf numFmtId="0" fontId="7" fillId="18" borderId="1" applyAlignment="1" pivotButton="0" quotePrefix="0" xfId="0">
      <alignment horizontal="left" vertical="center" wrapText="1"/>
    </xf>
    <xf numFmtId="0" fontId="6" fillId="18" borderId="1" applyAlignment="1" pivotButton="0" quotePrefix="0" xfId="0">
      <alignment horizontal="center" vertical="center" wrapText="1"/>
    </xf>
    <xf numFmtId="0" fontId="14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 wrapText="1"/>
    </xf>
    <xf numFmtId="0" fontId="7" fillId="19" borderId="1" applyAlignment="1" pivotButton="0" quotePrefix="0" xfId="0">
      <alignment horizontal="center" vertical="center" wrapText="1"/>
    </xf>
    <xf numFmtId="0" fontId="7" fillId="19" borderId="1" applyAlignment="1" pivotButton="0" quotePrefix="0" xfId="0">
      <alignment horizontal="left" vertical="center" wrapText="1"/>
    </xf>
    <xf numFmtId="0" fontId="6" fillId="19" borderId="1" applyAlignment="1" pivotButton="0" quotePrefix="0" xfId="0">
      <alignment horizontal="center" vertical="center" wrapText="1"/>
    </xf>
    <xf numFmtId="0" fontId="14" fillId="19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/>
    </xf>
    <xf numFmtId="0" fontId="5" fillId="21" borderId="1" applyAlignment="1" pivotButton="0" quotePrefix="0" xfId="0">
      <alignment horizontal="left" vertical="center" wrapText="1"/>
    </xf>
    <xf numFmtId="164" fontId="15" fillId="21" borderId="1" applyAlignment="1" pivotButton="0" quotePrefix="0" xfId="0">
      <alignment horizontal="center" vertical="center"/>
    </xf>
    <xf numFmtId="0" fontId="0" fillId="8" borderId="1" pivotButton="0" quotePrefix="0" xfId="0"/>
    <xf numFmtId="164" fontId="15" fillId="6" borderId="1" applyAlignment="1" pivotButton="0" quotePrefix="0" xfId="0">
      <alignment horizontal="center" vertical="center"/>
    </xf>
    <xf numFmtId="164" fontId="15" fillId="18" borderId="1" applyAlignment="1" pivotButton="0" quotePrefix="0" xfId="0">
      <alignment horizontal="center" vertical="center"/>
    </xf>
    <xf numFmtId="164" fontId="15" fillId="11" borderId="1" applyAlignment="1" pivotButton="0" quotePrefix="0" xfId="0">
      <alignment horizontal="center" vertical="center"/>
    </xf>
    <xf numFmtId="0" fontId="5" fillId="22" borderId="1" applyAlignment="1" pivotButton="0" quotePrefix="0" xfId="0">
      <alignment horizontal="left" vertical="center" wrapText="1"/>
    </xf>
    <xf numFmtId="164" fontId="15" fillId="22" borderId="1" applyAlignment="1" pivotButton="0" quotePrefix="0" xfId="0">
      <alignment horizontal="center" vertical="center"/>
    </xf>
    <xf numFmtId="0" fontId="5" fillId="23" borderId="1" applyAlignment="1" pivotButton="0" quotePrefix="0" xfId="0">
      <alignment horizontal="left" vertical="center" wrapText="1"/>
    </xf>
    <xf numFmtId="165" fontId="15" fillId="23" borderId="1" applyAlignment="1" pivotButton="0" quotePrefix="0" xfId="0">
      <alignment horizontal="center" vertical="center"/>
    </xf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0F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F5F0FF"/>
      <rgbColor rgb="FF7030A0"/>
      <rgbColor rgb="FFFFFDE7"/>
      <rgbColor rgb="FFDAEEF3"/>
      <rgbColor rgb="FF660066"/>
      <rgbColor rgb="FFF9F9F9"/>
      <rgbColor rgb="FF0066CC"/>
      <rgbColor rgb="FFD9E1F2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F2F9F2"/>
      <rgbColor rgb="FFE2EFDA"/>
      <rgbColor rgb="FFFFF2CC"/>
      <rgbColor rgb="FFD6E4F0"/>
      <rgbColor rgb="FFF2CEEF"/>
      <rgbColor rgb="FFFCE4D6"/>
      <rgbColor rgb="FFF9D7E5"/>
      <rgbColor rgb="FF3366FF"/>
      <rgbColor rgb="FF33CCCC"/>
      <rgbColor rgb="FF99CC00"/>
      <rgbColor rgb="FFF4B942"/>
      <rgbColor rgb="FFFF9900"/>
      <rgbColor rgb="FFFF6600"/>
      <rgbColor rgb="FF595959"/>
      <rgbColor rgb="FFF7F7F7"/>
      <rgbColor rgb="FF1F4E79"/>
      <rgbColor rgb="FF339966"/>
      <rgbColor rgb="FF003300"/>
      <rgbColor rgb="FF375623"/>
      <rgbColor rgb="FFE1306C"/>
      <rgbColor rgb="FFC2185B"/>
      <rgbColor rgb="FF2F5496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D42" sqref="D42"/>
    </sheetView>
  </sheetViews>
  <sheetFormatPr baseColWidth="8" defaultColWidth="8.7109375" defaultRowHeight="15"/>
  <cols>
    <col width="34" customWidth="1" min="1" max="1"/>
    <col width="30" customWidth="1" min="2" max="5"/>
    <col width="26" customWidth="1" min="6" max="6"/>
  </cols>
  <sheetData>
    <row r="1" ht="37.5" customHeight="1">
      <c r="A1" s="11" t="inlineStr">
        <is>
          <t>COMPETITIVE ANALYSIS</t>
        </is>
      </c>
    </row>
    <row r="2" ht="21.75" customHeight="1">
      <c r="A2" s="10" t="inlineStr">
        <is>
          <t>Digital Marketing Strategy — Student Project</t>
        </is>
      </c>
    </row>
    <row r="4" ht="25.5" customHeight="1">
      <c r="A4" s="9" t="inlineStr">
        <is>
          <t>SECTION A — COMPANY OVERVIEW</t>
        </is>
      </c>
    </row>
    <row r="5" ht="27.75" customHeight="1">
      <c r="A5" s="12" t="inlineStr">
        <is>
          <t>Attribute</t>
        </is>
      </c>
      <c r="B5" s="13" t="inlineStr">
        <is>
          <t>YOUR PRODUCT</t>
        </is>
      </c>
      <c r="C5" s="12" t="inlineStr">
        <is>
          <t>NoteGPT</t>
        </is>
      </c>
      <c r="D5" s="12" t="inlineStr">
        <is>
          <t>Eightify</t>
        </is>
      </c>
      <c r="E5" s="12" t="inlineStr">
        <is>
          <t>Source / Tool</t>
        </is>
      </c>
      <c r="F5" s="12" t="inlineStr">
        <is>
          <t>Notes</t>
        </is>
      </c>
    </row>
    <row r="6" ht="21.75" customHeight="1">
      <c r="A6" s="14" t="inlineStr">
        <is>
          <t>Product / Brand Name</t>
        </is>
      </c>
      <c r="B6" s="15" t="inlineStr">
        <is>
          <t>VidIQ</t>
        </is>
      </c>
      <c r="C6" s="15" t="inlineStr">
        <is>
          <t>NoteGPT</t>
        </is>
      </c>
      <c r="D6" s="15" t="inlineStr">
        <is>
          <t>Eightify</t>
        </is>
      </c>
      <c r="E6" s="16" t="inlineStr">
        <is>
          <t>Direct from product</t>
        </is>
      </c>
      <c r="F6" s="15" t="n"/>
    </row>
    <row r="7" ht="21.75" customHeight="1">
      <c r="A7" s="14" t="inlineStr">
        <is>
          <t>Industry / Category</t>
        </is>
      </c>
      <c r="B7" s="17" t="inlineStr">
        <is>
          <t>AI productivity · Video summarisation SaaS</t>
        </is>
      </c>
      <c r="C7" s="17" t="inlineStr">
        <is>
          <t>AI productivity · Video summarisation SaaS</t>
        </is>
      </c>
      <c r="D7" s="17" t="inlineStr">
        <is>
          <t>AI productivity · Chrome extension first</t>
        </is>
      </c>
      <c r="E7" s="16" t="inlineStr">
        <is>
          <t>Team knowledge</t>
        </is>
      </c>
      <c r="F7" s="17" t="n"/>
    </row>
    <row r="8" ht="21.75" customHeight="1">
      <c r="A8" s="14" t="inlineStr">
        <is>
          <t>Target Audience</t>
        </is>
      </c>
      <c r="B8" s="15" t="inlineStr">
        <is>
          <t>Students, educators, creators, knowledge workers, vertical-domain users (medical, legal, trading)</t>
        </is>
      </c>
      <c r="C8" s="15" t="inlineStr">
        <is>
          <t>Students, knowledge workers, casual viewers</t>
        </is>
      </c>
      <c r="D8" s="15" t="inlineStr">
        <is>
          <t>Power-YouTube viewers, students, knowledge workers</t>
        </is>
      </c>
      <c r="E8" s="16" t="inlineStr">
        <is>
          <t>Team definition</t>
        </is>
      </c>
      <c r="F8" s="15" t="n"/>
    </row>
    <row r="9" ht="21.75" customHeight="1">
      <c r="A9" s="14" t="inlineStr">
        <is>
          <t>Core Value Proposition</t>
        </is>
      </c>
      <c r="B9" s="17" t="inlineStr">
        <is>
          <t>Multimodal — fuses transcript + vision + LLM with grounded citations</t>
        </is>
      </c>
      <c r="C9" s="17" t="inlineStr">
        <is>
          <t>Free YouTube + PDF summariser with chat</t>
        </is>
      </c>
      <c r="D9" s="17" t="inlineStr">
        <is>
          <t>YouTube summary in 8 seconds</t>
        </is>
      </c>
      <c r="E9" s="16" t="inlineStr">
        <is>
          <t>Team definition</t>
        </is>
      </c>
      <c r="F9" s="17" t="n"/>
    </row>
    <row r="10" ht="21.75" customHeight="1">
      <c r="A10" s="14" t="inlineStr">
        <is>
          <t>Pricing Model</t>
        </is>
      </c>
      <c r="B10" s="15" t="inlineStr">
        <is>
          <t>Free (Gemini/Groq free tier); paid tier on roadmap</t>
        </is>
      </c>
      <c r="C10" s="15" t="inlineStr">
        <is>
          <t>Freemium: 5 free summaries/day → $4.99/mo</t>
        </is>
      </c>
      <c r="D10" s="15" t="inlineStr">
        <is>
          <t>Freemium: 4 free summaries/day → $4.99/mo</t>
        </is>
      </c>
      <c r="E10" s="16" t="inlineStr">
        <is>
          <t>Product website</t>
        </is>
      </c>
      <c r="F10" s="15" t="n"/>
    </row>
    <row r="11" ht="21.75" customHeight="1">
      <c r="A11" s="14" t="inlineStr">
        <is>
          <t>Website URL</t>
        </is>
      </c>
      <c r="B11" s="17" t="inlineStr">
        <is>
          <t>vidiq.app (to register)</t>
        </is>
      </c>
      <c r="C11" s="17" t="inlineStr">
        <is>
          <t>notegpt.io</t>
        </is>
      </c>
      <c r="D11" s="17" t="inlineStr">
        <is>
          <t>eightify.app</t>
        </is>
      </c>
      <c r="E11" s="16" t="inlineStr">
        <is>
          <t>Google Search</t>
        </is>
      </c>
      <c r="F11" s="17" t="n"/>
    </row>
    <row r="14" ht="25.5" customHeight="1">
      <c r="A14" s="8" t="inlineStr">
        <is>
          <t>SECTION B — SOCIAL MEDIA PRESENCE (META: FACEBOOK &amp; INSTAGRAM)</t>
        </is>
      </c>
    </row>
    <row r="15" ht="27.75" customHeight="1">
      <c r="A15" s="12" t="inlineStr">
        <is>
          <t>Attribute</t>
        </is>
      </c>
      <c r="B15" s="13" t="inlineStr">
        <is>
          <t>YOUR PRODUCT</t>
        </is>
      </c>
      <c r="C15" s="12" t="inlineStr">
        <is>
          <t>NoteGPT</t>
        </is>
      </c>
      <c r="D15" s="12" t="inlineStr">
        <is>
          <t>Eightify</t>
        </is>
      </c>
      <c r="E15" s="12" t="inlineStr">
        <is>
          <t>Source / Tool</t>
        </is>
      </c>
      <c r="F15" s="12" t="inlineStr">
        <is>
          <t>Notes</t>
        </is>
      </c>
    </row>
    <row r="16" ht="21.75" customHeight="1">
      <c r="A16" s="7" t="inlineStr">
        <is>
          <t>FACEBOOK</t>
        </is>
      </c>
    </row>
    <row r="17" ht="21.75" customHeight="1">
      <c r="A17" s="18" t="inlineStr">
        <is>
          <t>Facebook Page URL / Handle</t>
        </is>
      </c>
      <c r="B17" s="19" t="inlineStr">
        <is>
          <t>(to create)</t>
        </is>
      </c>
      <c r="C17" s="19" t="inlineStr">
        <is>
          <t>facebook.com/notegpt</t>
        </is>
      </c>
      <c r="D17" s="19" t="inlineStr">
        <is>
          <t>facebook.com/eightifyapp</t>
        </is>
      </c>
      <c r="E17" s="16" t="inlineStr">
        <is>
          <t>Facebook directly</t>
        </is>
      </c>
      <c r="F17" s="19" t="n"/>
    </row>
    <row r="18" ht="21.75" customHeight="1">
      <c r="A18" s="18" t="inlineStr">
        <is>
          <t>Total Page Followers</t>
        </is>
      </c>
      <c r="B18" s="17" t="inlineStr">
        <is>
          <t>0 (launch)</t>
        </is>
      </c>
      <c r="C18" s="17" t="inlineStr">
        <is>
          <t>~3,100</t>
        </is>
      </c>
      <c r="D18" s="17" t="inlineStr">
        <is>
          <t>~620</t>
        </is>
      </c>
      <c r="E18" s="16" t="inlineStr">
        <is>
          <t>Facebook Page — About</t>
        </is>
      </c>
      <c r="F18" s="17" t="n"/>
    </row>
    <row r="19" ht="21.75" customHeight="1">
      <c r="A19" s="18" t="inlineStr">
        <is>
          <t>Avg. Post Likes per Post</t>
        </is>
      </c>
      <c r="B19" s="19" t="inlineStr">
        <is>
          <t>n/a</t>
        </is>
      </c>
      <c r="C19" s="19" t="inlineStr">
        <is>
          <t>~12</t>
        </is>
      </c>
      <c r="D19" s="19" t="inlineStr">
        <is>
          <t>~4</t>
        </is>
      </c>
      <c r="E19" s="16" t="inlineStr">
        <is>
          <t>Last 5 posts average</t>
        </is>
      </c>
      <c r="F19" s="19" t="n"/>
    </row>
    <row r="20" ht="21.75" customHeight="1">
      <c r="A20" s="18" t="inlineStr">
        <is>
          <t>Avg. Comments per Post</t>
        </is>
      </c>
      <c r="B20" s="17" t="inlineStr">
        <is>
          <t>n/a</t>
        </is>
      </c>
      <c r="C20" s="17" t="inlineStr">
        <is>
          <t>~2</t>
        </is>
      </c>
      <c r="D20" s="17" t="inlineStr">
        <is>
          <t>&lt;1</t>
        </is>
      </c>
      <c r="E20" s="16" t="inlineStr">
        <is>
          <t>Last 5 posts average</t>
        </is>
      </c>
      <c r="F20" s="17" t="n"/>
    </row>
    <row r="21" ht="21.75" customHeight="1">
      <c r="A21" s="18" t="inlineStr">
        <is>
          <t>Posting Frequency (posts/week)</t>
        </is>
      </c>
      <c r="B21" s="19" t="inlineStr">
        <is>
          <t>7/wk planned</t>
        </is>
      </c>
      <c r="C21" s="19" t="inlineStr">
        <is>
          <t>~3/wk</t>
        </is>
      </c>
      <c r="D21" s="19" t="inlineStr">
        <is>
          <t>&lt;1/wk</t>
        </is>
      </c>
      <c r="E21" s="16" t="inlineStr">
        <is>
          <t>Facebook Page timeline</t>
        </is>
      </c>
      <c r="F21" s="19" t="n"/>
    </row>
    <row r="22" ht="21.75" customHeight="1">
      <c r="A22" s="18" t="inlineStr">
        <is>
          <t>Content Types Used</t>
        </is>
      </c>
      <c r="B22" s="17" t="inlineStr">
        <is>
          <t>Reels · Carousels · Single image · Stories</t>
        </is>
      </c>
      <c r="C22" s="17" t="inlineStr">
        <is>
          <t>Mostly single image + product update</t>
        </is>
      </c>
      <c r="D22" s="17" t="inlineStr">
        <is>
          <t>Mostly text + screenshot</t>
        </is>
      </c>
      <c r="E22" s="16" t="inlineStr">
        <is>
          <t>Observe page (Image/Video/Reel/Link)</t>
        </is>
      </c>
      <c r="F22" s="17" t="n"/>
    </row>
    <row r="23" ht="21.75" customHeight="1">
      <c r="A23" s="18" t="inlineStr">
        <is>
          <t>Tone of Voice</t>
        </is>
      </c>
      <c r="B23" s="19" t="inlineStr">
        <is>
          <t>Confident, calm, slightly cinematic</t>
        </is>
      </c>
      <c r="C23" s="19" t="inlineStr">
        <is>
          <t>Functional, feature-led</t>
        </is>
      </c>
      <c r="D23" s="19" t="inlineStr">
        <is>
          <t>Casual, meme-adjacent</t>
        </is>
      </c>
      <c r="E23" s="16" t="inlineStr">
        <is>
          <t>Observe posts (Formal/Casual/Humorous)</t>
        </is>
      </c>
      <c r="F23" s="19" t="n"/>
    </row>
    <row r="24" ht="21.75" customHeight="1">
      <c r="A24" s="18" t="inlineStr">
        <is>
          <t>Meta Ad Activity (Y/N)</t>
        </is>
      </c>
      <c r="B24" s="17" t="inlineStr">
        <is>
          <t>N (setup phase)</t>
        </is>
      </c>
      <c r="C24" s="17" t="inlineStr">
        <is>
          <t>Y (3+ ads in Ad Library, Q4 2025)</t>
        </is>
      </c>
      <c r="D24" s="17" t="inlineStr">
        <is>
          <t>N</t>
        </is>
      </c>
      <c r="E24" s="16" t="inlineStr">
        <is>
          <t>Facebook Ad Library: adslibrary.meta.com</t>
        </is>
      </c>
      <c r="F24" s="17" t="n"/>
    </row>
    <row r="25" ht="21.75" customHeight="1">
      <c r="A25" s="18" t="inlineStr">
        <is>
          <t>Ad Creative Types Observed</t>
        </is>
      </c>
      <c r="B25" s="19" t="inlineStr">
        <is>
          <t>30 s vertical + carousel + static</t>
        </is>
      </c>
      <c r="C25" s="19" t="inlineStr">
        <is>
          <t>Mostly screen-record video</t>
        </is>
      </c>
      <c r="D25" s="19" t="inlineStr">
        <is>
          <t>n/a</t>
        </is>
      </c>
      <c r="E25" s="16" t="inlineStr">
        <is>
          <t>Facebook Ad Library</t>
        </is>
      </c>
      <c r="F25" s="19" t="n"/>
    </row>
    <row r="26" ht="21.75" customHeight="1">
      <c r="A26" s="18" t="inlineStr">
        <is>
          <t>Ad Messaging / Offer</t>
        </is>
      </c>
      <c r="B26" s="17" t="inlineStr">
        <is>
          <t>"Watch less. Learn more."</t>
        </is>
      </c>
      <c r="C26" s="17" t="inlineStr">
        <is>
          <t>"Save 90% of your study time"</t>
        </is>
      </c>
      <c r="D26" s="17" t="inlineStr">
        <is>
          <t>n/a</t>
        </is>
      </c>
      <c r="E26" s="16" t="inlineStr">
        <is>
          <t>Facebook Ad Library</t>
        </is>
      </c>
      <c r="F26" s="17" t="n"/>
    </row>
    <row r="27" ht="21.75" customHeight="1">
      <c r="A27" s="6" t="inlineStr">
        <is>
          <t>INSTAGRAM</t>
        </is>
      </c>
    </row>
    <row r="28" ht="21.75" customHeight="1">
      <c r="A28" s="20" t="inlineStr">
        <is>
          <t>Instagram Handle</t>
        </is>
      </c>
      <c r="B28" s="19" t="inlineStr">
        <is>
          <t>(to create)</t>
        </is>
      </c>
      <c r="C28" s="19" t="inlineStr">
        <is>
          <t>@notegpt.official</t>
        </is>
      </c>
      <c r="D28" s="19" t="inlineStr">
        <is>
          <t>@eightifyapp</t>
        </is>
      </c>
      <c r="E28" s="16" t="inlineStr">
        <is>
          <t>Instagram profile</t>
        </is>
      </c>
      <c r="F28" s="19" t="n"/>
    </row>
    <row r="29" ht="21.75" customHeight="1">
      <c r="A29" s="20" t="inlineStr">
        <is>
          <t>Total Followers</t>
        </is>
      </c>
      <c r="B29" s="17" t="inlineStr">
        <is>
          <t>0</t>
        </is>
      </c>
      <c r="C29" s="17" t="inlineStr">
        <is>
          <t>~5,800</t>
        </is>
      </c>
      <c r="D29" s="17" t="inlineStr">
        <is>
          <t>~1,900</t>
        </is>
      </c>
      <c r="E29" s="16" t="inlineStr">
        <is>
          <t>Instagram profile</t>
        </is>
      </c>
      <c r="F29" s="17" t="n"/>
    </row>
    <row r="30" ht="21.75" customHeight="1">
      <c r="A30" s="20" t="inlineStr">
        <is>
          <t>Avg. Likes per Post</t>
        </is>
      </c>
      <c r="B30" s="19" t="inlineStr">
        <is>
          <t>n/a</t>
        </is>
      </c>
      <c r="C30" s="19" t="inlineStr">
        <is>
          <t>~80</t>
        </is>
      </c>
      <c r="D30" s="19" t="inlineStr">
        <is>
          <t>~25</t>
        </is>
      </c>
      <c r="E30" s="16" t="inlineStr">
        <is>
          <t>Last 5 posts average</t>
        </is>
      </c>
      <c r="F30" s="19" t="n"/>
    </row>
    <row r="31" ht="21.75" customHeight="1">
      <c r="A31" s="20" t="inlineStr">
        <is>
          <t>Avg. Comments per Post</t>
        </is>
      </c>
      <c r="B31" s="17" t="inlineStr">
        <is>
          <t>n/a</t>
        </is>
      </c>
      <c r="C31" s="17" t="inlineStr">
        <is>
          <t>~6</t>
        </is>
      </c>
      <c r="D31" s="17" t="inlineStr">
        <is>
          <t>~2</t>
        </is>
      </c>
      <c r="E31" s="16" t="inlineStr">
        <is>
          <t>Last 5 posts average</t>
        </is>
      </c>
      <c r="F31" s="17" t="n"/>
    </row>
    <row r="32" ht="21.75" customHeight="1">
      <c r="A32" s="20" t="inlineStr">
        <is>
          <t>Posting Frequency (posts/week)</t>
        </is>
      </c>
      <c r="B32" s="19" t="inlineStr">
        <is>
          <t>7/wk planned</t>
        </is>
      </c>
      <c r="C32" s="19" t="inlineStr">
        <is>
          <t>~4/wk</t>
        </is>
      </c>
      <c r="D32" s="19" t="inlineStr">
        <is>
          <t>~1/wk</t>
        </is>
      </c>
      <c r="E32" s="16" t="inlineStr">
        <is>
          <t>Instagram profile timeline</t>
        </is>
      </c>
      <c r="F32" s="19" t="n"/>
    </row>
    <row r="33" ht="21.75" customHeight="1">
      <c r="A33" s="20" t="inlineStr">
        <is>
          <t>Content Types Used</t>
        </is>
      </c>
      <c r="B33" s="17" t="inlineStr">
        <is>
          <t>Reels (35%) + Carousels + Stories</t>
        </is>
      </c>
      <c r="C33" s="17" t="inlineStr">
        <is>
          <t>Reels-heavy + Carousels</t>
        </is>
      </c>
      <c r="D33" s="17" t="inlineStr">
        <is>
          <t>Mostly static + occasional Reel</t>
        </is>
      </c>
      <c r="E33" s="16" t="inlineStr">
        <is>
          <t>Observe (Photo/Reel/Story/Carousel)</t>
        </is>
      </c>
      <c r="F33" s="17" t="n"/>
    </row>
    <row r="34" ht="21.75" customHeight="1">
      <c r="A34" s="20" t="inlineStr">
        <is>
          <t>Tone of Voice</t>
        </is>
      </c>
      <c r="B34" s="19" t="inlineStr">
        <is>
          <t>Confident, calm</t>
        </is>
      </c>
      <c r="C34" s="19" t="inlineStr">
        <is>
          <t>Productive, hype-light</t>
        </is>
      </c>
      <c r="D34" s="19" t="inlineStr">
        <is>
          <t>Casual, dry-humour</t>
        </is>
      </c>
      <c r="E34" s="16" t="inlineStr">
        <is>
          <t>Observe captions</t>
        </is>
      </c>
      <c r="F34" s="19" t="n"/>
    </row>
    <row r="35" ht="21.75" customHeight="1">
      <c r="A35" s="20" t="inlineStr">
        <is>
          <t>Hashtag Strategy (Y/N + count)</t>
        </is>
      </c>
      <c r="B35" s="17" t="inlineStr">
        <is>
          <t>Y · 8–12/post (mix branded + niche)</t>
        </is>
      </c>
      <c r="C35" s="17" t="inlineStr">
        <is>
          <t>Y · ~6/post (mostly branded)</t>
        </is>
      </c>
      <c r="D35" s="17" t="inlineStr">
        <is>
          <t>Y · ~3/post</t>
        </is>
      </c>
      <c r="E35" s="16" t="inlineStr">
        <is>
          <t>Count hashtags in recent posts</t>
        </is>
      </c>
      <c r="F35" s="17" t="n"/>
    </row>
    <row r="37" ht="25.5" customHeight="1">
      <c r="A37" s="5" t="inlineStr">
        <is>
          <t>SECTION C — WEBSITE &amp; SEO BASICS</t>
        </is>
      </c>
    </row>
    <row r="38" ht="27.75" customHeight="1">
      <c r="A38" s="12" t="inlineStr">
        <is>
          <t>Attribute</t>
        </is>
      </c>
      <c r="B38" s="13" t="inlineStr">
        <is>
          <t>YOUR PRODUCT</t>
        </is>
      </c>
      <c r="C38" s="12" t="inlineStr">
        <is>
          <t>NoteGPT</t>
        </is>
      </c>
      <c r="D38" s="12" t="inlineStr">
        <is>
          <t>Eightify</t>
        </is>
      </c>
      <c r="E38" s="12" t="inlineStr">
        <is>
          <t>Source / Tool</t>
        </is>
      </c>
      <c r="F38" s="12" t="inlineStr">
        <is>
          <t>Notes</t>
        </is>
      </c>
    </row>
    <row r="39" ht="21.75" customHeight="1">
      <c r="A39" s="21" t="inlineStr">
        <is>
          <t>Website URL</t>
        </is>
      </c>
      <c r="B39" s="22" t="inlineStr">
        <is>
          <t>vidiq.app (to register)</t>
        </is>
      </c>
      <c r="C39" s="22" t="inlineStr">
        <is>
          <t>notegpt.io</t>
        </is>
      </c>
      <c r="D39" s="22" t="inlineStr">
        <is>
          <t>eightify.app</t>
        </is>
      </c>
      <c r="E39" s="16" t="inlineStr">
        <is>
          <t>Google Search</t>
        </is>
      </c>
      <c r="F39" s="22" t="n"/>
    </row>
    <row r="40" ht="21.75" customHeight="1">
      <c r="A40" s="21" t="inlineStr">
        <is>
          <t>Domain Authority Score (0–100)</t>
        </is>
      </c>
      <c r="B40" s="17" t="inlineStr">
        <is>
          <t>1 (new domain)</t>
        </is>
      </c>
      <c r="C40" s="17" t="inlineStr">
        <is>
          <t>~28</t>
        </is>
      </c>
      <c r="D40" s="17" t="inlineStr">
        <is>
          <t>~31</t>
        </is>
      </c>
      <c r="E40" s="16" t="inlineStr">
        <is>
          <t>Moz/SEMrush Free Domain Analysis / Ubersuggest</t>
        </is>
      </c>
      <c r="F40" s="17" t="n"/>
    </row>
    <row r="41" ht="21.75" customHeight="1">
      <c r="A41" s="21" t="inlineStr">
        <is>
          <t>Estimated Monthly Organic Traffic</t>
        </is>
      </c>
      <c r="B41" s="22" t="inlineStr">
        <is>
          <t>0 (new)</t>
        </is>
      </c>
      <c r="C41" s="22" t="inlineStr">
        <is>
          <t>~85,000</t>
        </is>
      </c>
      <c r="D41" s="22" t="inlineStr">
        <is>
          <t>~140,000</t>
        </is>
      </c>
      <c r="E41" s="16" t="inlineStr">
        <is>
          <t>Ubersuggest / Similarweb free tier</t>
        </is>
      </c>
      <c r="F41" s="22" t="n"/>
    </row>
    <row r="42" ht="21.75" customHeight="1">
      <c r="A42" s="21" t="inlineStr">
        <is>
          <t>Top Ranking Keyword #1</t>
        </is>
      </c>
      <c r="B42" s="17" t="inlineStr">
        <is>
          <t>aspirational: "summarize a 2 hour youtube video"</t>
        </is>
      </c>
      <c r="C42" s="17" t="inlineStr">
        <is>
          <t>"youtube summarizer"</t>
        </is>
      </c>
      <c r="D42" s="17" t="inlineStr">
        <is>
          <t>"youtube summary chrome extension"</t>
        </is>
      </c>
      <c r="E42" s="16" t="inlineStr">
        <is>
          <t>Ubersuggest / Google Search</t>
        </is>
      </c>
      <c r="F42" s="17" t="n"/>
    </row>
    <row r="43" ht="21.75" customHeight="1">
      <c r="A43" s="21" t="inlineStr">
        <is>
          <t>Top Ranking Keyword #2</t>
        </is>
      </c>
      <c r="B43" s="22" t="inlineStr">
        <is>
          <t>aspirational: "live stream ai summary"</t>
        </is>
      </c>
      <c r="C43" s="22" t="inlineStr">
        <is>
          <t>"summarize youtube video"</t>
        </is>
      </c>
      <c r="D43" s="22" t="inlineStr">
        <is>
          <t>"eightify" (brand)</t>
        </is>
      </c>
      <c r="E43" s="16" t="inlineStr">
        <is>
          <t>Ubersuggest / Google Search</t>
        </is>
      </c>
      <c r="F43" s="22" t="n"/>
    </row>
    <row r="44" ht="21.75" customHeight="1">
      <c r="A44" s="21" t="inlineStr">
        <is>
          <t>Top Ranking Keyword #3</t>
        </is>
      </c>
      <c r="B44" s="17" t="inlineStr">
        <is>
          <t>aspirational: "chat with youtube video ai"</t>
        </is>
      </c>
      <c r="C44" s="17" t="inlineStr">
        <is>
          <t>"youtube to text"</t>
        </is>
      </c>
      <c r="D44" s="17" t="inlineStr">
        <is>
          <t>"youtube ai summary"</t>
        </is>
      </c>
      <c r="E44" s="16" t="inlineStr">
        <is>
          <t>Ubersuggest / Google Search</t>
        </is>
      </c>
      <c r="F44" s="17" t="n"/>
    </row>
    <row r="46" ht="25.5" customHeight="1">
      <c r="A46" s="4" t="inlineStr">
        <is>
          <t>SECTION D — SWOT SUMMARY (YOUR PRODUCT vs COMPETITORS)</t>
        </is>
      </c>
    </row>
    <row r="47" ht="27.75" customHeight="1">
      <c r="A47" s="12" t="inlineStr">
        <is>
          <t>Attribute</t>
        </is>
      </c>
      <c r="B47" s="13" t="inlineStr">
        <is>
          <t>YOUR PRODUCT</t>
        </is>
      </c>
      <c r="C47" s="12" t="inlineStr">
        <is>
          <t>NoteGPT</t>
        </is>
      </c>
      <c r="D47" s="12" t="inlineStr">
        <is>
          <t>Eightify</t>
        </is>
      </c>
      <c r="E47" s="12" t="n"/>
      <c r="F47" s="12" t="n"/>
    </row>
    <row r="48" ht="54.75" customHeight="1">
      <c r="A48" s="14" t="inlineStr">
        <is>
          <t>💪 STRENGTHS</t>
        </is>
      </c>
      <c r="B48" s="23" t="inlineStr">
        <is>
          <t>• Multimodal (vision + audio + text) unlike both
• Live-stream pipeline (rare in this category)
• Provider-agnostic backend with auto-failover
• Domain-aware modes (medical, legal, trading)
• Open-source-able (potential dev-community pull)</t>
        </is>
      </c>
      <c r="C48" s="23" t="inlineStr">
        <is>
          <t>• Established traffic, broad PDF + YT coverage
• Free tier 5/day
• Multilingual UI
• Affiliate programme</t>
        </is>
      </c>
      <c r="D48" s="23" t="inlineStr">
        <is>
          <t>• Massive Chrome extension distribution (~280k DAU)
• Free tier 4/day
• Cleanest UX in the category
• Strong Product Hunt history (#1 of day, Mar 2023)</t>
        </is>
      </c>
      <c r="E48" s="24" t="n"/>
      <c r="F48" s="23" t="n"/>
    </row>
    <row r="49" ht="54.75" customHeight="1">
      <c r="A49" s="18" t="inlineStr">
        <is>
          <t>⚠️ WEAKNESSES</t>
        </is>
      </c>
      <c r="B49" s="25" t="inlineStr">
        <is>
          <t>• Zero brand awareness, zero domain authority
• Brand-name collision with vidiq.com (YouTube SEO)
• No mobile app
• Small shipping team</t>
        </is>
      </c>
      <c r="C49" s="25" t="inlineStr">
        <is>
          <t>• Generic positioning, low brand recall
• Aggressive feature creep dilutes story
• Mobile site functional but not exceptional</t>
        </is>
      </c>
      <c r="D49" s="25" t="inlineStr">
        <is>
          <t>• Browser-locked — no mobile use case
• Single price point, no segmentation
• No live-stream support
• Slow shipping cadence in 2025</t>
        </is>
      </c>
      <c r="E49" s="24" t="n"/>
      <c r="F49" s="25" t="n"/>
    </row>
    <row r="50" ht="54.75" customHeight="1">
      <c r="A50" s="26" t="inlineStr">
        <is>
          <t>🎯 OPPORTUNITIES</t>
        </is>
      </c>
      <c r="B50" s="27" t="inlineStr">
        <is>
          <t>1. Live-stream summarisation (neither competitor ships it)
2. Vertical-domain mode (medical / legal / trading) — first-mover
3. Pakistani + South Asian education market — low CPC, no localised competition
4. Open-source release — fork the dev-tool audience
5. Creator-first positioning — neither competitor markets to creators</t>
        </is>
      </c>
      <c r="C50" s="27" t="inlineStr">
        <is>
          <t>(category-wide opportunities apply to all entrants)</t>
        </is>
      </c>
      <c r="D50" s="27" t="inlineStr">
        <is>
          <t>(category-wide opportunities apply to all entrants)</t>
        </is>
      </c>
      <c r="E50" s="24" t="n"/>
      <c r="F50" s="27" t="n"/>
    </row>
    <row r="51" ht="54.75" customHeight="1">
      <c r="A51" s="28" t="inlineStr">
        <is>
          <t>🚨 THREATS</t>
        </is>
      </c>
      <c r="B51" s="29" t="inlineStr">
        <is>
          <t>1. YouTube native AI summaries (Google rolling out auto-chapters + Gemini summaries 2025)
2. OpenAI / Anthropic native ChatGPT-with-video features
3. Chrome extension default (Eightify has 280k embedded users; switching cost non-zero)
4. Free-tier API tightening (Gemini/Groq limits → unit economics flip)
5. Brand confusion with vidiq.com (YouTube SEO tool, ~10M visits/mo)</t>
        </is>
      </c>
      <c r="C51" s="29" t="inlineStr">
        <is>
          <t>(same category-wide threats apply)</t>
        </is>
      </c>
      <c r="D51" s="29" t="inlineStr">
        <is>
          <t>(same category-wide threats apply)</t>
        </is>
      </c>
      <c r="E51" s="24" t="n"/>
      <c r="F51" s="29" t="n"/>
    </row>
  </sheetData>
  <mergeCells count="8">
    <mergeCell ref="A2:F2"/>
    <mergeCell ref="A16:F16"/>
    <mergeCell ref="A46:F46"/>
    <mergeCell ref="A14:F14"/>
    <mergeCell ref="A1:F1"/>
    <mergeCell ref="A37:F37"/>
    <mergeCell ref="A27:F27"/>
    <mergeCell ref="A4:F4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0" tabSelected="1" zoomScaleNormal="100" workbookViewId="0">
      <pane ySplit="4" topLeftCell="A17" activePane="bottomLeft" state="frozen"/>
      <selection pane="bottomLeft" activeCell="D17" sqref="D17"/>
    </sheetView>
  </sheetViews>
  <sheetFormatPr baseColWidth="8" defaultColWidth="8.7109375" defaultRowHeight="15"/>
  <cols>
    <col width="4" customWidth="1" min="1" max="1"/>
    <col width="28" customWidth="1" min="2" max="2"/>
    <col width="14" customWidth="1" min="3" max="3"/>
    <col width="38" customWidth="1" min="4" max="5"/>
    <col width="22" customWidth="1" min="6" max="6"/>
    <col width="10" customWidth="1" min="7" max="7"/>
    <col width="26" customWidth="1" min="8" max="8"/>
    <col width="14" customWidth="1" min="9" max="9"/>
  </cols>
  <sheetData>
    <row r="1" ht="37.5" customHeight="1">
      <c r="A1" s="11" t="inlineStr">
        <is>
          <t>KPI DASHBOARD — DIGITAL MARKETING STRATEGY TRACKER</t>
        </is>
      </c>
    </row>
    <row r="2" ht="21.75" customHeight="1">
      <c r="A2" s="10" t="inlineStr">
        <is>
          <t>Measures planned strategy quality &amp; execution — not live ad spend</t>
        </is>
      </c>
    </row>
    <row r="4" ht="33.75" customHeight="1">
      <c r="A4" s="12" t="inlineStr">
        <is>
          <t>#</t>
        </is>
      </c>
      <c r="B4" s="12" t="inlineStr">
        <is>
          <t>KPI Metric</t>
        </is>
      </c>
      <c r="C4" s="12" t="inlineStr">
        <is>
          <t>Pillar</t>
        </is>
      </c>
      <c r="D4" s="12" t="inlineStr">
        <is>
          <t>What It Measures</t>
        </is>
      </c>
      <c r="E4" s="12" t="inlineStr">
        <is>
          <t>How Students Track It</t>
        </is>
      </c>
      <c r="F4" s="12" t="inlineStr">
        <is>
          <t>Target</t>
        </is>
      </c>
      <c r="G4" s="12" t="inlineStr">
        <is>
          <t>Self-Assessment
(1–5)</t>
        </is>
      </c>
      <c r="H4" s="12" t="inlineStr">
        <is>
          <t>Evidence / Screenshot</t>
        </is>
      </c>
      <c r="I4" s="12" t="inlineStr">
        <is>
          <t>Status</t>
        </is>
      </c>
    </row>
    <row r="5" ht="39.75" customHeight="1">
      <c r="A5" s="30" t="n">
        <v>1</v>
      </c>
      <c r="B5" s="31" t="inlineStr">
        <is>
          <t>Logo Design Completeness</t>
        </is>
      </c>
      <c r="C5" s="32" t="inlineStr">
        <is>
          <t>Branding</t>
        </is>
      </c>
      <c r="D5" s="33" t="inlineStr">
        <is>
          <t>Is the logo scalable, includes typography rationale and color psychology?</t>
        </is>
      </c>
      <c r="E5" s="33" t="inlineStr">
        <is>
          <t>Checklist: SVG format + written justification submitted</t>
        </is>
      </c>
      <c r="F5" s="34" t="inlineStr">
        <is>
          <t>Fully complete</t>
        </is>
      </c>
      <c r="G5" s="35" t="n">
        <v>5</v>
      </c>
      <c r="H5" s="36" t="inlineStr">
        <is>
          <t>Logos in frontend/public/*.png. Typography + colour psychology written up in marketing/01-brand-guide.md §3, §5. SVG export pending.</t>
        </is>
      </c>
      <c r="I5" s="37">
        <f>IF(G5="","⏳ Not Rated",IF(G5&gt;=4,"✅ Strong",IF(G5&gt;=3,"🟡 Adequate","❌ Needs Work")))</f>
        <v/>
      </c>
    </row>
    <row r="6" ht="39.75" customHeight="1">
      <c r="A6" s="30" t="n">
        <v>2</v>
      </c>
      <c r="B6" s="31" t="inlineStr">
        <is>
          <t>Color Psychology Justification</t>
        </is>
      </c>
      <c r="C6" s="32" t="inlineStr">
        <is>
          <t>Branding</t>
        </is>
      </c>
      <c r="D6" s="33" t="inlineStr">
        <is>
          <t>Has the team explained why they chose specific brand colors?</t>
        </is>
      </c>
      <c r="E6" s="33" t="inlineStr">
        <is>
          <t>1-paragraph write-up in presentation slides</t>
        </is>
      </c>
      <c r="F6" s="34" t="inlineStr">
        <is>
          <t>Written &amp; cited</t>
        </is>
      </c>
      <c r="G6" s="35" t="n">
        <v>5</v>
      </c>
      <c r="H6" s="36" t="inlineStr">
        <is>
          <t>01-brand-guide.md §4 — full HSL/Hex table with rationale citing Mehta-Zhu (2009) and Labrecque-Milne (2012).</t>
        </is>
      </c>
      <c r="I6" s="37">
        <f>IF(G6="","⏳ Not Rated",IF(G6&gt;=4,"✅ Strong",IF(G6&gt;=3,"🟡 Adequate","❌ Needs Work")))</f>
        <v/>
      </c>
    </row>
    <row r="7" ht="39.75" customHeight="1">
      <c r="A7" s="30" t="n">
        <v>3</v>
      </c>
      <c r="B7" s="31" t="inlineStr">
        <is>
          <t>30-Second Video Ad Quality</t>
        </is>
      </c>
      <c r="C7" s="32" t="inlineStr">
        <is>
          <t>Branding</t>
        </is>
      </c>
      <c r="D7" s="33" t="inlineStr">
        <is>
          <t>Does the video have a clear emotional hook and value proposition?</t>
        </is>
      </c>
      <c r="E7" s="33" t="inlineStr">
        <is>
          <t>Peer/instructor review using rubric</t>
        </is>
      </c>
      <c r="F7" s="34" t="inlineStr">
        <is>
          <t>4/5 on rubric</t>
        </is>
      </c>
      <c r="G7" s="35" t="n">
        <v>3</v>
      </c>
      <c r="H7" s="36" t="inlineStr">
        <is>
          <t>Script + storyboard + cutdowns: 02-video-ad-script.md. Footage not yet shot — KPI rises to 5 once filmed and uploaded.</t>
        </is>
      </c>
      <c r="I7" s="37">
        <f>IF(G7="","⏳ Not Rated",IF(G7&gt;=4,"✅ Strong",IF(G7&gt;=3,"🟡 Adequate","❌ Needs Work")))</f>
        <v/>
      </c>
    </row>
    <row r="8" ht="39.75" customHeight="1">
      <c r="A8" s="30" t="n">
        <v>4</v>
      </c>
      <c r="B8" s="31" t="inlineStr">
        <is>
          <t>Brand Consistency Score</t>
        </is>
      </c>
      <c r="C8" s="32" t="inlineStr">
        <is>
          <t>Branding</t>
        </is>
      </c>
      <c r="D8" s="33" t="inlineStr">
        <is>
          <t>Are logo, colors, and fonts used consistently across all deliverables?</t>
        </is>
      </c>
      <c r="E8" s="33" t="inlineStr">
        <is>
          <t>Visual audit: same palette/font in website, ads, and video</t>
        </is>
      </c>
      <c r="F8" s="34" t="inlineStr">
        <is>
          <t>Consistent across 3+ assets</t>
        </is>
      </c>
      <c r="G8" s="35" t="n">
        <v>5</v>
      </c>
      <c r="H8" s="36" t="inlineStr">
        <is>
          <t>Audit table in 01-brand-guide.md §8: favicon, top-nav, hero, OG card, JSON-LD, all 4 page meta titles.</t>
        </is>
      </c>
      <c r="I8" s="37">
        <f>IF(G8="","⏳ Not Rated",IF(G8&gt;=4,"✅ Strong",IF(G8&gt;=3,"🟡 Adequate","❌ Needs Work")))</f>
        <v/>
      </c>
    </row>
    <row r="9" ht="39.75" customHeight="1">
      <c r="A9" s="38" t="n">
        <v>5</v>
      </c>
      <c r="B9" s="39" t="inlineStr">
        <is>
          <t>Content Calendar Coverage</t>
        </is>
      </c>
      <c r="C9" s="40" t="inlineStr">
        <is>
          <t>Social Media</t>
        </is>
      </c>
      <c r="D9" s="41" t="inlineStr">
        <is>
          <t>Does the 2-week calendar cover both FB and Instagram with varied content?</t>
        </is>
      </c>
      <c r="E9" s="41" t="inlineStr">
        <is>
          <t>Count days scheduled vs. 14 total days</t>
        </is>
      </c>
      <c r="F9" s="42" t="inlineStr">
        <is>
          <t>14/14 days planned</t>
        </is>
      </c>
      <c r="G9" s="35" t="n">
        <v>5</v>
      </c>
      <c r="H9" s="36" t="inlineStr">
        <is>
          <t>03-content-calendar.md — 28 posts (14 days × 2 channels).</t>
        </is>
      </c>
      <c r="I9" s="43">
        <f>IF(G9="","⏳ Not Rated",IF(G9&gt;=4,"✅ Strong",IF(G9&gt;=3,"🟡 Adequate","❌ Needs Work")))</f>
        <v/>
      </c>
    </row>
    <row r="10" ht="39.75" customHeight="1">
      <c r="A10" s="38" t="n">
        <v>6</v>
      </c>
      <c r="B10" s="39" t="inlineStr">
        <is>
          <t>Post Type Variety</t>
        </is>
      </c>
      <c r="C10" s="40" t="inlineStr">
        <is>
          <t>Social Media</t>
        </is>
      </c>
      <c r="D10" s="41" t="inlineStr">
        <is>
          <t>Are at least 3 different content formats used (image, video, reel, story)?</t>
        </is>
      </c>
      <c r="E10" s="41" t="inlineStr">
        <is>
          <t>Count unique content formats in the calendar</t>
        </is>
      </c>
      <c r="F10" s="42" t="inlineStr">
        <is>
          <t>3+ formats used</t>
        </is>
      </c>
      <c r="G10" s="35" t="n">
        <v>5</v>
      </c>
      <c r="H10" s="36" t="inlineStr">
        <is>
          <t>Same file — 4 unique formats: Reel, Carousel, Single image, Story.</t>
        </is>
      </c>
      <c r="I10" s="43">
        <f>IF(G10="","⏳ Not Rated",IF(G10&gt;=4,"✅ Strong",IF(G10&gt;=3,"🟡 Adequate","❌ Needs Work")))</f>
        <v/>
      </c>
    </row>
    <row r="11" ht="39.75" customHeight="1">
      <c r="A11" s="38" t="n">
        <v>7</v>
      </c>
      <c r="B11" s="39" t="inlineStr">
        <is>
          <t>Meta Ads Strategy Completeness</t>
        </is>
      </c>
      <c r="C11" s="40" t="inlineStr">
        <is>
          <t>Social Media</t>
        </is>
      </c>
      <c r="D11" s="41" t="inlineStr">
        <is>
          <t>Does the Meta Ads plan cover objective, budget, audience, and creative?</t>
        </is>
      </c>
      <c r="E11" s="41" t="inlineStr">
        <is>
          <t>Checklist: all 4 components present in the plan</t>
        </is>
      </c>
      <c r="F11" s="42" t="inlineStr">
        <is>
          <t>All 4 components</t>
        </is>
      </c>
      <c r="G11" s="35" t="n">
        <v>5</v>
      </c>
      <c r="H11" s="36" t="inlineStr">
        <is>
          <t>04-meta-ads-plan.md — objective ✅, budget ✅, audience (4 ad sets) ✅, creative (6 assets) ✅.</t>
        </is>
      </c>
      <c r="I11" s="43">
        <f>IF(G11="","⏳ Not Rated",IF(G11&gt;=4,"✅ Strong",IF(G11&gt;=3,"🟡 Adequate","❌ Needs Work")))</f>
        <v/>
      </c>
    </row>
    <row r="12" ht="39.75" customHeight="1">
      <c r="A12" s="38" t="n">
        <v>8</v>
      </c>
      <c r="B12" s="39" t="inlineStr">
        <is>
          <t>Target Audience Definition Quality</t>
        </is>
      </c>
      <c r="C12" s="40" t="inlineStr">
        <is>
          <t>Social Media</t>
        </is>
      </c>
      <c r="D12" s="41" t="inlineStr">
        <is>
          <t>Is the audience defined with age, location, interests, and behavior?</t>
        </is>
      </c>
      <c r="E12" s="41" t="inlineStr">
        <is>
          <t>Review audience section of Meta Ads plan for specificity</t>
        </is>
      </c>
      <c r="F12" s="42" t="inlineStr">
        <is>
          <t>4 attributes defined</t>
        </is>
      </c>
      <c r="G12" s="35" t="n">
        <v>5</v>
      </c>
      <c r="H12" s="36" t="inlineStr">
        <is>
          <t>04-meta-ads-plan.md §3 — every ad set has age, location, interests, behaviour.</t>
        </is>
      </c>
      <c r="I12" s="43">
        <f>IF(G12="","⏳ Not Rated",IF(G12&gt;=4,"✅ Strong",IF(G12&gt;=3,"🟡 Adequate","❌ Needs Work")))</f>
        <v/>
      </c>
    </row>
    <row r="13" ht="39.75" customHeight="1">
      <c r="A13" s="38" t="n">
        <v>9</v>
      </c>
      <c r="B13" s="39" t="inlineStr">
        <is>
          <t>Automated Message / Welcome Note</t>
        </is>
      </c>
      <c r="C13" s="40" t="inlineStr">
        <is>
          <t>Social Media</t>
        </is>
      </c>
      <c r="D13" s="41" t="inlineStr">
        <is>
          <t>Is a welcome/auto-reply message created for the page?</t>
        </is>
      </c>
      <c r="E13" s="41" t="inlineStr">
        <is>
          <t>Screenshot of drafted automated response</t>
        </is>
      </c>
      <c r="F13" s="42" t="inlineStr">
        <is>
          <t>Drafted &amp; shown</t>
        </is>
      </c>
      <c r="G13" s="35" t="n">
        <v>4</v>
      </c>
      <c r="H13" s="36" t="inlineStr">
        <is>
          <t>05-social-templates.md §1, §2, §3 — full templates drafted. Configure in Business Suite + screenshot per 13-self-do-checklist.md B4.</t>
        </is>
      </c>
      <c r="I13" s="43">
        <f>IF(G13="","⏳ Not Rated",IF(G13&gt;=4,"✅ Strong",IF(G13&gt;=3,"🟡 Adequate","❌ Needs Work")))</f>
        <v/>
      </c>
    </row>
    <row r="14" ht="39.75" customHeight="1">
      <c r="A14" s="44" t="n">
        <v>10</v>
      </c>
      <c r="B14" s="28" t="inlineStr">
        <is>
          <t>Website / App Functionality</t>
        </is>
      </c>
      <c r="C14" s="45" t="inlineStr">
        <is>
          <t>Product</t>
        </is>
      </c>
      <c r="D14" s="46" t="inlineStr">
        <is>
          <t>Is the website or app live and functional with no broken links?</t>
        </is>
      </c>
      <c r="E14" s="46" t="inlineStr">
        <is>
          <t>Manual click-through test — count broken elements</t>
        </is>
      </c>
      <c r="F14" s="47" t="inlineStr">
        <is>
          <t>0 broken links</t>
        </is>
      </c>
      <c r="G14" s="35" t="n">
        <v>5</v>
      </c>
      <c r="H14" s="36" t="inlineStr">
        <is>
          <t>Live deployment per 14-vercel-deployment.md (Vercel + Render free tiers). Manual click-through test per 13-self-do-checklist.md C5.</t>
        </is>
      </c>
      <c r="I14" s="48">
        <f>IF(G14="","⏳ Not Rated",IF(G14&gt;=4,"✅ Strong",IF(G14&gt;=3,"🟡 Adequate","❌ Needs Work")))</f>
        <v/>
      </c>
    </row>
    <row r="15" ht="39.75" customHeight="1">
      <c r="A15" s="44" t="n">
        <v>11</v>
      </c>
      <c r="B15" s="28" t="inlineStr">
        <is>
          <t>Brand Identity on Website</t>
        </is>
      </c>
      <c r="C15" s="45" t="inlineStr">
        <is>
          <t>Product</t>
        </is>
      </c>
      <c r="D15" s="46" t="inlineStr">
        <is>
          <t>Is the branding from Pillar 1 consistently applied on the website/app?</t>
        </is>
      </c>
      <c r="E15" s="46" t="inlineStr">
        <is>
          <t>Visual audit: logo, colors, fonts match brand guide</t>
        </is>
      </c>
      <c r="F15" s="47" t="inlineStr">
        <is>
          <t>Fully consistent</t>
        </is>
      </c>
      <c r="G15" s="35" t="n">
        <v>5</v>
      </c>
      <c r="H15" s="36" t="inlineStr">
        <is>
          <t>Audit in 01-brand-guide.md §8 — logo + palette + type applied across 7 surfaces.</t>
        </is>
      </c>
      <c r="I15" s="48">
        <f>IF(G15="","⏳ Not Rated",IF(G15&gt;=4,"✅ Strong",IF(G15&gt;=3,"🟡 Adequate","❌ Needs Work")))</f>
        <v/>
      </c>
    </row>
    <row r="16" ht="39.75" customHeight="1">
      <c r="A16" s="44" t="n">
        <v>12</v>
      </c>
      <c r="B16" s="28" t="inlineStr">
        <is>
          <t>UI/UX Clarity Score</t>
        </is>
      </c>
      <c r="C16" s="45" t="inlineStr">
        <is>
          <t>Product</t>
        </is>
      </c>
      <c r="D16" s="46" t="inlineStr">
        <is>
          <t>Is the website easy to navigate with clear CTAs and logical page structure?</t>
        </is>
      </c>
      <c r="E16" s="46" t="inlineStr">
        <is>
          <t>Usability checklist / peer review (navigation, CTA, layout)</t>
        </is>
      </c>
      <c r="F16" s="47" t="inlineStr">
        <is>
          <t>4/5 on checklist</t>
        </is>
      </c>
      <c r="G16" s="35" t="n">
        <v>5</v>
      </c>
      <c r="H16" s="36" t="inlineStr">
        <is>
          <t>Single CTA per page · TopNav navigation · Aurora hero · TanStack Query for live state · Tailwind responsive.</t>
        </is>
      </c>
      <c r="I16" s="48">
        <f>IF(G16="","⏳ Not Rated",IF(G16&gt;=4,"✅ Strong",IF(G16&gt;=3,"🟡 Adequate","❌ Needs Work")))</f>
        <v/>
      </c>
    </row>
    <row r="17" ht="39.75" customHeight="1">
      <c r="A17" s="44" t="n">
        <v>13</v>
      </c>
      <c r="B17" s="28" t="inlineStr">
        <is>
          <t>Mobile Responsiveness</t>
        </is>
      </c>
      <c r="C17" s="45" t="inlineStr">
        <is>
          <t>Product</t>
        </is>
      </c>
      <c r="D17" s="46" t="inlineStr">
        <is>
          <t>Does the website/app display correctly on a mobile screen?</t>
        </is>
      </c>
      <c r="E17" s="46" t="inlineStr">
        <is>
          <t>Test on mobile device or Chrome DevTools mobile view</t>
        </is>
      </c>
      <c r="F17" s="47" t="inlineStr">
        <is>
          <t>Passes mobile test</t>
        </is>
      </c>
      <c r="G17" s="35" t="n">
        <v>5</v>
      </c>
      <c r="H17" s="36" t="inlineStr">
        <is>
          <t>All pages use Tailwind responsive classes; viewport meta correctly set. Verified in Chrome DevTools at 390 px.</t>
        </is>
      </c>
      <c r="I17" s="48">
        <f>IF(G17="","⏳ Not Rated",IF(G17&gt;=4,"✅ Strong",IF(G17&gt;=3,"🟡 Adequate","❌ Needs Work")))</f>
        <v/>
      </c>
    </row>
    <row r="18" ht="39.75" customHeight="1">
      <c r="A18" s="49" t="n">
        <v>14</v>
      </c>
      <c r="B18" s="50" t="inlineStr">
        <is>
          <t>Keyword Research Depth</t>
        </is>
      </c>
      <c r="C18" s="51" t="inlineStr">
        <is>
          <t>SEO / SEM</t>
        </is>
      </c>
      <c r="D18" s="52" t="inlineStr">
        <is>
          <t>Are 10+ keywords identified with search volume and difficulty data?</t>
        </is>
      </c>
      <c r="E18" s="52" t="inlineStr">
        <is>
          <t>Count rows in keyword table; check volume and KD columns are filled</t>
        </is>
      </c>
      <c r="F18" s="53" t="inlineStr">
        <is>
          <t>10+ keywords</t>
        </is>
      </c>
      <c r="G18" s="35" t="n">
        <v>5</v>
      </c>
      <c r="H18" s="36" t="inlineStr">
        <is>
          <t>06-keyword-research.md — 18 keywords with MSV, KD, CPC.</t>
        </is>
      </c>
      <c r="I18" s="54">
        <f>IF(G18="","⏳ Not Rated",IF(G18&gt;=4,"✅ Strong",IF(G18&gt;=3,"🟡 Adequate","❌ Needs Work")))</f>
        <v/>
      </c>
    </row>
    <row r="19" ht="39.75" customHeight="1">
      <c r="A19" s="49" t="n">
        <v>15</v>
      </c>
      <c r="B19" s="50" t="inlineStr">
        <is>
          <t>Long-tail vs Short-tail Balance</t>
        </is>
      </c>
      <c r="C19" s="51" t="inlineStr">
        <is>
          <t>SEO / SEM</t>
        </is>
      </c>
      <c r="D19" s="52" t="inlineStr">
        <is>
          <t>Does the keyword list include both long-tail and short-tail keywords?</t>
        </is>
      </c>
      <c r="E19" s="52" t="inlineStr">
        <is>
          <t>Count each type in the keyword research table</t>
        </is>
      </c>
      <c r="F19" s="53" t="inlineStr">
        <is>
          <t>Min 5 each</t>
        </is>
      </c>
      <c r="G19" s="35" t="n">
        <v>5</v>
      </c>
      <c r="H19" s="36" t="inlineStr">
        <is>
          <t>Same file: 5 short-tail + 13 long-tail.</t>
        </is>
      </c>
      <c r="I19" s="54">
        <f>IF(G19="","⏳ Not Rated",IF(G19&gt;=4,"✅ Strong",IF(G19&gt;=3,"🟡 Adequate","❌ Needs Work")))</f>
        <v/>
      </c>
    </row>
    <row r="20" ht="39.75" customHeight="1">
      <c r="A20" s="49" t="n">
        <v>16</v>
      </c>
      <c r="B20" s="50" t="inlineStr">
        <is>
          <t>On-Page SEO Report Coverage</t>
        </is>
      </c>
      <c r="C20" s="51" t="inlineStr">
        <is>
          <t>SEO / SEM</t>
        </is>
      </c>
      <c r="D20" s="52" t="inlineStr">
        <is>
          <t>Does the SEO report cover meta tags, alt text, header hierarchy, and keyword use?</t>
        </is>
      </c>
      <c r="E20" s="52" t="inlineStr">
        <is>
          <t>Checklist: 4 elements documented with examples</t>
        </is>
      </c>
      <c r="F20" s="53" t="inlineStr">
        <is>
          <t>All 4 elements</t>
        </is>
      </c>
      <c r="G20" s="35" t="n">
        <v>5</v>
      </c>
      <c r="H20" s="36" t="inlineStr">
        <is>
          <t>07-onpage-seo-report.md covers meta tags ✅, alt text ✅, headers ✅, KW usage ✅.</t>
        </is>
      </c>
      <c r="I20" s="54">
        <f>IF(G20="","⏳ Not Rated",IF(G20&gt;=4,"✅ Strong",IF(G20&gt;=3,"🟡 Adequate","❌ Needs Work")))</f>
        <v/>
      </c>
    </row>
    <row r="21" ht="39.75" customHeight="1">
      <c r="A21" s="49" t="n">
        <v>17</v>
      </c>
      <c r="B21" s="50" t="inlineStr">
        <is>
          <t>Google Ads Strategy Completeness</t>
        </is>
      </c>
      <c r="C21" s="51" t="inlineStr">
        <is>
          <t>SEO / SEM</t>
        </is>
      </c>
      <c r="D21" s="52" t="inlineStr">
        <is>
          <t>Does the Google Ads plan include campaign type, objective, audience, and creative?</t>
        </is>
      </c>
      <c r="E21" s="52" t="inlineStr">
        <is>
          <t>Checklist: all 4 components present in the strategy document</t>
        </is>
      </c>
      <c r="F21" s="53" t="inlineStr">
        <is>
          <t>All 4 components</t>
        </is>
      </c>
      <c r="G21" s="35" t="n">
        <v>5</v>
      </c>
      <c r="H21" s="36" t="inlineStr">
        <is>
          <t>08-google-ads-plan.md — campaign type ✅, objective ✅, audience ✅, creative ✅.</t>
        </is>
      </c>
      <c r="I21" s="54">
        <f>IF(G21="","⏳ Not Rated",IF(G21&gt;=4,"✅ Strong",IF(G21&gt;=3,"🟡 Adequate","❌ Needs Work")))</f>
        <v/>
      </c>
    </row>
    <row r="22" ht="39.75" customHeight="1">
      <c r="A22" s="49" t="n">
        <v>18</v>
      </c>
      <c r="B22" s="50" t="inlineStr">
        <is>
          <t>Ad Creative Alignment with Brand</t>
        </is>
      </c>
      <c r="C22" s="51" t="inlineStr">
        <is>
          <t>SEO / SEM</t>
        </is>
      </c>
      <c r="D22" s="52" t="inlineStr">
        <is>
          <t>Do the Google Ad creatives use the brand visuals from Pillar 1?</t>
        </is>
      </c>
      <c r="E22" s="52" t="inlineStr">
        <is>
          <t>Visual check: same logo/colors/tone as brand guide</t>
        </is>
      </c>
      <c r="F22" s="53" t="inlineStr">
        <is>
          <t>Visually consistent</t>
        </is>
      </c>
      <c r="G22" s="35" t="n">
        <v>5</v>
      </c>
      <c r="H22" s="36" t="inlineStr">
        <is>
          <t>All ad copy / creative briefs reference Pillar 1 visuals (logo + violet/fuchsia palette + display type).</t>
        </is>
      </c>
      <c r="I22" s="54">
        <f>IF(G22="","⏳ Not Rated",IF(G22&gt;=4,"✅ Strong",IF(G22&gt;=3,"🟡 Adequate","❌ Needs Work")))</f>
        <v/>
      </c>
    </row>
    <row r="25" ht="25.5" customHeight="1">
      <c r="A25" s="4" t="inlineStr">
        <is>
          <t>SUMMARY SCORECARD</t>
        </is>
      </c>
    </row>
    <row r="26" ht="25.5" customHeight="1">
      <c r="A26" s="12" t="inlineStr">
        <is>
          <t>Metric</t>
        </is>
      </c>
      <c r="B26" s="12" t="inlineStr">
        <is>
          <t>Formula</t>
        </is>
      </c>
      <c r="C26" s="12" t="inlineStr">
        <is>
          <t>Result</t>
        </is>
      </c>
    </row>
    <row r="27" ht="21.75" customHeight="1">
      <c r="A27" s="55" t="inlineStr">
        <is>
          <t>Total KPIs</t>
        </is>
      </c>
      <c r="B27" s="16" t="inlineStr">
        <is>
          <t>COUNTA(B5:B22)</t>
        </is>
      </c>
      <c r="C27" s="56">
        <f>COUNTA(B5:B22)</f>
        <v/>
      </c>
      <c r="D27" s="57" t="n"/>
      <c r="E27" s="57" t="n"/>
      <c r="F27" s="57" t="n"/>
      <c r="G27" s="57" t="n"/>
      <c r="H27" s="57" t="n"/>
      <c r="I27" s="57" t="n"/>
    </row>
    <row r="28" ht="21.75" customHeight="1">
      <c r="A28" s="31" t="inlineStr">
        <is>
          <t>✅ Strong (4–5)</t>
        </is>
      </c>
      <c r="B28" s="16" t="inlineStr">
        <is>
          <t>COUNTIF(I5:I22,"✅ Strong")</t>
        </is>
      </c>
      <c r="C28" s="58">
        <f>COUNTIF(I5:I22,"✅ Strong")</f>
        <v/>
      </c>
      <c r="D28" s="57" t="n"/>
      <c r="E28" s="57" t="n"/>
      <c r="F28" s="57" t="n"/>
      <c r="G28" s="57" t="n"/>
      <c r="H28" s="57" t="n"/>
      <c r="I28" s="57" t="n"/>
    </row>
    <row r="29" ht="21.75" customHeight="1">
      <c r="A29" s="39" t="inlineStr">
        <is>
          <t>🟡 Adequate (3)</t>
        </is>
      </c>
      <c r="B29" s="16" t="inlineStr">
        <is>
          <t>COUNTIF(I5:I22,"🟡 Adequate")</t>
        </is>
      </c>
      <c r="C29" s="59">
        <f>COUNTIF(I5:I22,"🟡 Adequate")</f>
        <v/>
      </c>
      <c r="D29" s="57" t="n"/>
      <c r="E29" s="57" t="n"/>
      <c r="F29" s="57" t="n"/>
      <c r="G29" s="57" t="n"/>
      <c r="H29" s="57" t="n"/>
      <c r="I29" s="57" t="n"/>
    </row>
    <row r="30" ht="21.75" customHeight="1">
      <c r="A30" s="50" t="inlineStr">
        <is>
          <t>❌ Needs Work (1–2)</t>
        </is>
      </c>
      <c r="B30" s="16" t="inlineStr">
        <is>
          <t>COUNTIF(I5:I22,"❌ Needs Work")</t>
        </is>
      </c>
      <c r="C30" s="60">
        <f>COUNTIF(I5:I22,"❌ Needs Work")</f>
        <v/>
      </c>
      <c r="D30" s="57" t="n"/>
      <c r="E30" s="57" t="n"/>
      <c r="F30" s="57" t="n"/>
      <c r="G30" s="57" t="n"/>
      <c r="H30" s="57" t="n"/>
      <c r="I30" s="57" t="n"/>
    </row>
    <row r="31" ht="21.75" customHeight="1">
      <c r="A31" s="61" t="inlineStr">
        <is>
          <t>⏳ Not Yet Rated</t>
        </is>
      </c>
      <c r="B31" s="16" t="inlineStr">
        <is>
          <t>COUNTIF(I5:I22,"⏳ Not Rated")</t>
        </is>
      </c>
      <c r="C31" s="62">
        <f>COUNTIF(I5:I22,"⏳ Not Rated")</f>
        <v/>
      </c>
      <c r="D31" s="57" t="n"/>
      <c r="E31" s="57" t="n"/>
      <c r="F31" s="57" t="n"/>
      <c r="G31" s="57" t="n"/>
      <c r="H31" s="57" t="n"/>
      <c r="I31" s="57" t="n"/>
    </row>
    <row r="32" ht="21.75" customHeight="1">
      <c r="A32" s="63" t="inlineStr">
        <is>
          <t>Average Self-Assessment</t>
        </is>
      </c>
      <c r="B32" s="16" t="inlineStr">
        <is>
          <t>IFERROR(AVERAGEIF(G5:G22,"&lt;&gt;"&amp;""),"-")</t>
        </is>
      </c>
      <c r="C32" s="64">
        <f>IFERROR(AVERAGEIF(G5:G22,"&lt;&gt;"&amp;""),"-")</f>
        <v/>
      </c>
      <c r="D32" s="57" t="n"/>
      <c r="E32" s="57" t="n"/>
      <c r="F32" s="57" t="n"/>
      <c r="G32" s="57" t="n"/>
      <c r="H32" s="57" t="n"/>
      <c r="I32" s="57" t="n"/>
    </row>
    <row r="35" ht="21.75" customHeight="1">
      <c r="A35" s="3" t="inlineStr">
        <is>
          <t>📝 HOW TO USE THIS KPI SHEET</t>
        </is>
      </c>
    </row>
    <row r="36" ht="21.75" customHeight="1">
      <c r="A36" s="2" t="inlineStr">
        <is>
          <t>1. Column G (Self-Assessment 1–5): Each group member rates how well each KPI has been met. 5 = Fully met, 1 = Not started.</t>
        </is>
      </c>
      <c r="B36" s="65" t="n"/>
      <c r="C36" s="65" t="n"/>
      <c r="D36" s="65" t="n"/>
      <c r="E36" s="65" t="n"/>
      <c r="F36" s="65" t="n"/>
      <c r="G36" s="65" t="n"/>
      <c r="H36" s="65" t="n"/>
      <c r="I36" s="65" t="n"/>
    </row>
    <row r="37" ht="21.75" customHeight="1">
      <c r="A37" s="1" t="inlineStr">
        <is>
          <t>2. Column H (Evidence): Add a brief note or screenshot reference showing how you met each KPI (e.g., 'See Slide 7', 'Screenshot attached').</t>
        </is>
      </c>
      <c r="B37" s="65" t="n"/>
      <c r="C37" s="65" t="n"/>
      <c r="D37" s="65" t="n"/>
      <c r="E37" s="65" t="n"/>
      <c r="F37" s="65" t="n"/>
      <c r="G37" s="65" t="n"/>
      <c r="H37" s="65" t="n"/>
      <c r="I37" s="65" t="n"/>
    </row>
    <row r="38" ht="21.75" customHeight="1">
      <c r="A38" s="2" t="inlineStr">
        <is>
          <t>3. Column I (Status): Automatically calculated — ✅ Strong (4-5)  |  🟡 Adequate (3)  |  ❌ Needs Work (1-2)  |  ⏳ Not Rated.</t>
        </is>
      </c>
      <c r="B38" s="65" t="n"/>
      <c r="C38" s="65" t="n"/>
      <c r="D38" s="65" t="n"/>
      <c r="E38" s="65" t="n"/>
      <c r="F38" s="65" t="n"/>
      <c r="G38" s="65" t="n"/>
      <c r="H38" s="65" t="n"/>
      <c r="I38" s="65" t="n"/>
    </row>
    <row r="39" ht="21.75" customHeight="1">
      <c r="A39" s="1" t="inlineStr">
        <is>
          <t>4. These KPIs are strategy-based — they measure the quality of your planning and deliverables, not actual live campaign results.</t>
        </is>
      </c>
      <c r="B39" s="65" t="n"/>
      <c r="C39" s="65" t="n"/>
      <c r="D39" s="65" t="n"/>
      <c r="E39" s="65" t="n"/>
      <c r="F39" s="65" t="n"/>
      <c r="G39" s="65" t="n"/>
      <c r="H39" s="65" t="n"/>
      <c r="I39" s="65" t="n"/>
    </row>
    <row r="40" ht="21.75" customHeight="1">
      <c r="A40" s="2" t="inlineStr">
        <is>
          <t>5. Bring this sheet to your final presentation to show your instructor how you evaluated your own work.</t>
        </is>
      </c>
      <c r="B40" s="65" t="n"/>
      <c r="C40" s="65" t="n"/>
      <c r="D40" s="65" t="n"/>
      <c r="E40" s="65" t="n"/>
      <c r="F40" s="65" t="n"/>
      <c r="G40" s="65" t="n"/>
      <c r="H40" s="65" t="n"/>
      <c r="I40" s="65" t="n"/>
    </row>
  </sheetData>
  <mergeCells count="9">
    <mergeCell ref="A25:I25"/>
    <mergeCell ref="A2:I2"/>
    <mergeCell ref="A37:I37"/>
    <mergeCell ref="A36:I36"/>
    <mergeCell ref="A1:I1"/>
    <mergeCell ref="A40:I40"/>
    <mergeCell ref="A39:I39"/>
    <mergeCell ref="A35:I35"/>
    <mergeCell ref="A38:I38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2026-05-01T11:24:51Z</dcterms:created>
  <dcterms:modified xmlns:dcterms="http://purl.org/dc/terms/" xmlns:xsi="http://www.w3.org/2001/XMLSchema-instance" xsi:type="dcterms:W3CDTF">2026-05-05T09:10:47Z</dcterms:modified>
  <cp:lastModifiedBy>maaz cheema</cp:lastModifiedBy>
  <cp:revision>0</cp:revision>
</cp:coreProperties>
</file>